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pythonEduNoteTxt\개인적인\이혼증거\가사조사\"/>
    </mc:Choice>
  </mc:AlternateContent>
  <xr:revisionPtr revIDLastSave="0" documentId="13_ncr:1_{67A13888-9DFD-4825-8A74-BFFF1C220F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공동재산" sheetId="1" r:id="rId1"/>
    <sheet name="결혼전 개인재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3" i="1" l="1"/>
  <c r="D22" i="2" s="1"/>
  <c r="H12" i="2"/>
  <c r="C22" i="2"/>
  <c r="G63" i="1"/>
  <c r="F63" i="1"/>
  <c r="E63" i="1"/>
  <c r="D63" i="1"/>
  <c r="C57" i="1"/>
  <c r="C56" i="1"/>
  <c r="C55" i="1"/>
  <c r="C54" i="1"/>
  <c r="C53" i="1"/>
  <c r="C52" i="1"/>
  <c r="C51" i="1"/>
  <c r="C50" i="1"/>
  <c r="C49" i="1"/>
  <c r="C48" i="1"/>
  <c r="C44" i="1"/>
  <c r="C63" i="1" s="1"/>
  <c r="E22" i="2" l="1"/>
</calcChain>
</file>

<file path=xl/sharedStrings.xml><?xml version="1.0" encoding="utf-8"?>
<sst xmlns="http://schemas.openxmlformats.org/spreadsheetml/2006/main" count="144" uniqueCount="70">
  <si>
    <t>21년</t>
  </si>
  <si>
    <t>8월</t>
  </si>
  <si>
    <t>9월</t>
  </si>
  <si>
    <t>급여</t>
  </si>
  <si>
    <t>24년</t>
  </si>
  <si>
    <t>7월</t>
  </si>
  <si>
    <t>11월</t>
  </si>
  <si>
    <t>1월</t>
  </si>
  <si>
    <t>12월</t>
  </si>
  <si>
    <t>22년</t>
  </si>
  <si>
    <t>10월</t>
  </si>
  <si>
    <t>생활비</t>
  </si>
  <si>
    <t>3월</t>
  </si>
  <si>
    <t>2월</t>
  </si>
  <si>
    <t>5월</t>
  </si>
  <si>
    <t>20년</t>
  </si>
  <si>
    <t>23년</t>
  </si>
  <si>
    <t>합계</t>
  </si>
  <si>
    <t>25년</t>
  </si>
  <si>
    <t>4월</t>
  </si>
  <si>
    <t>6월</t>
  </si>
  <si>
    <t>고잉컴</t>
  </si>
  <si>
    <t>베트남
환율 1300원
으로계산</t>
  </si>
  <si>
    <t>카카오뱅크
(12월월세:차키+수원지역화폐)</t>
  </si>
  <si>
    <t>진스아이티오</t>
  </si>
  <si>
    <t>인포렉스</t>
  </si>
  <si>
    <t>사슴월세</t>
  </si>
  <si>
    <t>그리스카카오</t>
  </si>
  <si>
    <t>싸에스피아이</t>
  </si>
  <si>
    <t>가져간돈</t>
  </si>
  <si>
    <t>항목</t>
    <phoneticPr fontId="3" type="noConversion"/>
  </si>
  <si>
    <t>투입일자</t>
    <phoneticPr fontId="3" type="noConversion"/>
  </si>
  <si>
    <t>투입금액</t>
    <phoneticPr fontId="3" type="noConversion"/>
  </si>
  <si>
    <t>피고계좌</t>
    <phoneticPr fontId="3" type="noConversion"/>
  </si>
  <si>
    <t>원고계좌</t>
    <phoneticPr fontId="3" type="noConversion"/>
  </si>
  <si>
    <t>피고은행</t>
    <phoneticPr fontId="3" type="noConversion"/>
  </si>
  <si>
    <t>원고은행</t>
    <phoneticPr fontId="3" type="noConversion"/>
  </si>
  <si>
    <t>비고</t>
    <phoneticPr fontId="3" type="noConversion"/>
  </si>
  <si>
    <t>사슴아파트월세</t>
    <phoneticPr fontId="3" type="noConversion"/>
  </si>
  <si>
    <t>2020년6월~2025년 2월</t>
    <phoneticPr fontId="3" type="noConversion"/>
  </si>
  <si>
    <t>신한은행</t>
    <phoneticPr fontId="3" type="noConversion"/>
  </si>
  <si>
    <t>110-477-301-413</t>
    <phoneticPr fontId="3" type="noConversion"/>
  </si>
  <si>
    <t>기업은행</t>
    <phoneticPr fontId="3" type="noConversion"/>
  </si>
  <si>
    <t>군포부동산</t>
    <phoneticPr fontId="3" type="noConversion"/>
  </si>
  <si>
    <t>2020년7월15일</t>
    <phoneticPr fontId="3" type="noConversion"/>
  </si>
  <si>
    <t>337-064771-01-011</t>
    <phoneticPr fontId="3" type="noConversion"/>
  </si>
  <si>
    <t>동양생명해지금</t>
    <phoneticPr fontId="3" type="noConversion"/>
  </si>
  <si>
    <t>027-099000-02-011</t>
    <phoneticPr fontId="3" type="noConversion"/>
  </si>
  <si>
    <t>유안타증권</t>
    <phoneticPr fontId="3" type="noConversion"/>
  </si>
  <si>
    <t>006-7100-2492</t>
    <phoneticPr fontId="3" type="noConversion"/>
  </si>
  <si>
    <t>어머니결혼자금</t>
    <phoneticPr fontId="3" type="noConversion"/>
  </si>
  <si>
    <t>기업은행연금보험해지금</t>
    <phoneticPr fontId="3" type="noConversion"/>
  </si>
  <si>
    <t>공동재산기여도</t>
    <phoneticPr fontId="3" type="noConversion"/>
  </si>
  <si>
    <t>최종금액</t>
    <phoneticPr fontId="3" type="noConversion"/>
  </si>
  <si>
    <t>공동재산총금액</t>
    <phoneticPr fontId="3" type="noConversion"/>
  </si>
  <si>
    <t>결혼전개인재산금액</t>
    <phoneticPr fontId="3" type="noConversion"/>
  </si>
  <si>
    <t>결혼식자금</t>
    <phoneticPr fontId="3" type="noConversion"/>
  </si>
  <si>
    <t>2021년02월01일</t>
    <phoneticPr fontId="3" type="noConversion"/>
  </si>
  <si>
    <t>2020년12월04일</t>
    <phoneticPr fontId="3" type="noConversion"/>
  </si>
  <si>
    <t>2020년9월3일</t>
    <phoneticPr fontId="3" type="noConversion"/>
  </si>
  <si>
    <t>월세보증금</t>
    <phoneticPr fontId="3" type="noConversion"/>
  </si>
  <si>
    <t>2021년11월01일</t>
    <phoneticPr fontId="3" type="noConversion"/>
  </si>
  <si>
    <t>2026년02월10일</t>
    <phoneticPr fontId="3" type="noConversion"/>
  </si>
  <si>
    <t>피고 KB손보교통사고처리</t>
    <phoneticPr fontId="3" type="noConversion"/>
  </si>
  <si>
    <t>2025년04월14일</t>
    <phoneticPr fontId="3" type="noConversion"/>
  </si>
  <si>
    <t>변호사비용(이혼조정)</t>
    <phoneticPr fontId="3" type="noConversion"/>
  </si>
  <si>
    <t>토스뱅크</t>
    <phoneticPr fontId="3" type="noConversion"/>
  </si>
  <si>
    <t>1000-1875-0867</t>
    <phoneticPr fontId="3" type="noConversion"/>
  </si>
  <si>
    <t>2025년07월14일</t>
    <phoneticPr fontId="3" type="noConversion"/>
  </si>
  <si>
    <t>변호사비용(이혼소송)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</si>
</sst>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view="pageBreakPreview" topLeftCell="A49" zoomScaleNormal="100" zoomScaleSheetLayoutView="100" workbookViewId="0">
      <selection activeCell="D67" sqref="D67"/>
    </sheetView>
  </sheetViews>
  <sheetFormatPr defaultColWidth="9" defaultRowHeight="17.399999999999999" x14ac:dyDescent="0.4"/>
  <cols>
    <col min="2" max="3" width="11.8984375" bestFit="1" customWidth="1"/>
    <col min="4" max="4" width="12.296875" bestFit="1" customWidth="1"/>
    <col min="5" max="5" width="12.296875" hidden="1" bestFit="1" customWidth="1"/>
    <col min="6" max="6" width="15.3984375" bestFit="1" customWidth="1"/>
    <col min="7" max="7" width="14.296875" bestFit="1" customWidth="1"/>
    <col min="8" max="8" width="13" bestFit="1" customWidth="1"/>
  </cols>
  <sheetData>
    <row r="1" spans="1:8" x14ac:dyDescent="0.4">
      <c r="A1" s="1"/>
      <c r="B1" s="1"/>
      <c r="C1" s="8" t="s">
        <v>3</v>
      </c>
      <c r="D1" s="8"/>
      <c r="E1" s="1" t="s">
        <v>26</v>
      </c>
      <c r="F1" s="1" t="s">
        <v>29</v>
      </c>
      <c r="G1" s="1" t="s">
        <v>11</v>
      </c>
      <c r="H1" s="1"/>
    </row>
    <row r="2" spans="1:8" x14ac:dyDescent="0.4">
      <c r="A2" s="9" t="s">
        <v>15</v>
      </c>
      <c r="B2" s="2" t="s">
        <v>12</v>
      </c>
      <c r="C2" s="3"/>
      <c r="D2" s="3"/>
      <c r="E2" s="3"/>
      <c r="F2" s="3"/>
      <c r="G2" s="3"/>
      <c r="H2" s="12" t="s">
        <v>21</v>
      </c>
    </row>
    <row r="3" spans="1:8" x14ac:dyDescent="0.4">
      <c r="A3" s="10"/>
      <c r="B3" s="2" t="s">
        <v>19</v>
      </c>
      <c r="C3" s="3"/>
      <c r="D3" s="3"/>
      <c r="E3" s="3"/>
      <c r="F3" s="3"/>
      <c r="G3" s="3"/>
      <c r="H3" s="12"/>
    </row>
    <row r="4" spans="1:8" x14ac:dyDescent="0.4">
      <c r="A4" s="10"/>
      <c r="B4" s="2" t="s">
        <v>14</v>
      </c>
      <c r="C4" s="3">
        <v>4213000</v>
      </c>
      <c r="D4" s="3">
        <v>1665050</v>
      </c>
      <c r="E4" s="3"/>
      <c r="F4" s="3">
        <v>-2144136</v>
      </c>
      <c r="G4" s="3">
        <v>-100000</v>
      </c>
      <c r="H4" s="12"/>
    </row>
    <row r="5" spans="1:8" x14ac:dyDescent="0.4">
      <c r="A5" s="10"/>
      <c r="B5" s="2" t="s">
        <v>20</v>
      </c>
      <c r="C5" s="3">
        <v>4013050</v>
      </c>
      <c r="D5" s="3">
        <v>1643910</v>
      </c>
      <c r="E5" s="3">
        <v>500000</v>
      </c>
      <c r="F5" s="3">
        <v>-733050</v>
      </c>
      <c r="G5" s="3">
        <v>-100000</v>
      </c>
      <c r="H5" s="12"/>
    </row>
    <row r="6" spans="1:8" x14ac:dyDescent="0.4">
      <c r="A6" s="10"/>
      <c r="B6" s="2" t="s">
        <v>5</v>
      </c>
      <c r="C6" s="3">
        <v>4013050</v>
      </c>
      <c r="D6" s="3">
        <v>1624050</v>
      </c>
      <c r="E6" s="3">
        <v>500000</v>
      </c>
      <c r="F6" s="3">
        <v>-1383050</v>
      </c>
      <c r="G6" s="3">
        <v>-100000</v>
      </c>
      <c r="H6" s="12"/>
    </row>
    <row r="7" spans="1:8" x14ac:dyDescent="0.4">
      <c r="A7" s="10"/>
      <c r="B7" s="2" t="s">
        <v>1</v>
      </c>
      <c r="C7" s="3">
        <v>4013000</v>
      </c>
      <c r="D7" s="3">
        <v>1625000</v>
      </c>
      <c r="E7" s="3">
        <v>500000</v>
      </c>
      <c r="F7" s="3">
        <v>-1655857</v>
      </c>
      <c r="G7" s="3">
        <v>-100000</v>
      </c>
      <c r="H7" s="12"/>
    </row>
    <row r="8" spans="1:8" x14ac:dyDescent="0.4">
      <c r="A8" s="10"/>
      <c r="B8" s="2" t="s">
        <v>2</v>
      </c>
      <c r="C8" s="3">
        <v>4013000</v>
      </c>
      <c r="D8" s="3">
        <v>1625000</v>
      </c>
      <c r="E8" s="3">
        <v>500000</v>
      </c>
      <c r="F8" s="3">
        <v>-1965347</v>
      </c>
      <c r="G8" s="3">
        <v>-100000</v>
      </c>
      <c r="H8" s="12"/>
    </row>
    <row r="9" spans="1:8" x14ac:dyDescent="0.4">
      <c r="A9" s="10"/>
      <c r="B9" s="2" t="s">
        <v>10</v>
      </c>
      <c r="C9" s="3">
        <v>4013000</v>
      </c>
      <c r="D9" s="3">
        <v>1625000</v>
      </c>
      <c r="E9" s="3">
        <v>500000</v>
      </c>
      <c r="F9" s="3">
        <v>-1632541</v>
      </c>
      <c r="G9" s="3">
        <v>-100000</v>
      </c>
      <c r="H9" s="12"/>
    </row>
    <row r="10" spans="1:8" x14ac:dyDescent="0.4">
      <c r="A10" s="10"/>
      <c r="B10" s="2" t="s">
        <v>6</v>
      </c>
      <c r="C10" s="3">
        <v>3287760</v>
      </c>
      <c r="D10" s="3"/>
      <c r="E10" s="3">
        <v>500000</v>
      </c>
      <c r="F10" s="3">
        <v>-1057241</v>
      </c>
      <c r="G10" s="3">
        <v>-100000</v>
      </c>
      <c r="H10" s="12" t="s">
        <v>24</v>
      </c>
    </row>
    <row r="11" spans="1:8" x14ac:dyDescent="0.4">
      <c r="A11" s="11"/>
      <c r="B11" s="2" t="s">
        <v>8</v>
      </c>
      <c r="C11" s="3">
        <v>6285500</v>
      </c>
      <c r="D11" s="3"/>
      <c r="E11" s="3">
        <v>500000</v>
      </c>
      <c r="F11" s="3">
        <v>-2393539</v>
      </c>
      <c r="G11" s="3">
        <v>-100000</v>
      </c>
      <c r="H11" s="12"/>
    </row>
    <row r="12" spans="1:8" x14ac:dyDescent="0.4">
      <c r="A12" s="12" t="s">
        <v>0</v>
      </c>
      <c r="B12" s="2" t="s">
        <v>7</v>
      </c>
      <c r="C12" s="3">
        <v>6285500</v>
      </c>
      <c r="D12" s="3"/>
      <c r="E12" s="3">
        <v>500000</v>
      </c>
      <c r="F12" s="3">
        <v>-2056142</v>
      </c>
      <c r="G12" s="3">
        <v>-100000</v>
      </c>
      <c r="H12" s="12"/>
    </row>
    <row r="13" spans="1:8" x14ac:dyDescent="0.4">
      <c r="A13" s="12"/>
      <c r="B13" s="2" t="s">
        <v>13</v>
      </c>
      <c r="C13" s="3">
        <v>6285500</v>
      </c>
      <c r="D13" s="3"/>
      <c r="E13" s="3">
        <v>500000</v>
      </c>
      <c r="F13" s="3">
        <v>-1936042</v>
      </c>
      <c r="G13" s="3">
        <v>-100000</v>
      </c>
      <c r="H13" s="12"/>
    </row>
    <row r="14" spans="1:8" x14ac:dyDescent="0.4">
      <c r="A14" s="12"/>
      <c r="B14" s="2" t="s">
        <v>12</v>
      </c>
      <c r="C14" s="3">
        <v>6285500</v>
      </c>
      <c r="D14" s="3"/>
      <c r="E14" s="3">
        <v>500000</v>
      </c>
      <c r="F14" s="3">
        <v>-1349482</v>
      </c>
      <c r="G14" s="3">
        <v>-100000</v>
      </c>
      <c r="H14" s="12"/>
    </row>
    <row r="15" spans="1:8" x14ac:dyDescent="0.4">
      <c r="A15" s="12"/>
      <c r="B15" s="2" t="s">
        <v>19</v>
      </c>
      <c r="C15" s="3">
        <v>6285500</v>
      </c>
      <c r="D15" s="3"/>
      <c r="E15" s="3">
        <v>500000</v>
      </c>
      <c r="F15" s="3">
        <v>-1296783</v>
      </c>
      <c r="G15" s="3">
        <v>-100000</v>
      </c>
      <c r="H15" s="12"/>
    </row>
    <row r="16" spans="1:8" x14ac:dyDescent="0.4">
      <c r="A16" s="12"/>
      <c r="B16" s="2" t="s">
        <v>14</v>
      </c>
      <c r="C16" s="3">
        <v>6285500</v>
      </c>
      <c r="D16" s="3"/>
      <c r="E16" s="3">
        <v>500000</v>
      </c>
      <c r="F16" s="3">
        <v>-1017986</v>
      </c>
      <c r="G16" s="3">
        <v>-100000</v>
      </c>
      <c r="H16" s="12"/>
    </row>
    <row r="17" spans="1:8" x14ac:dyDescent="0.4">
      <c r="A17" s="12"/>
      <c r="B17" s="2" t="s">
        <v>20</v>
      </c>
      <c r="C17" s="3">
        <v>6285500</v>
      </c>
      <c r="D17" s="3"/>
      <c r="E17" s="3">
        <v>450000</v>
      </c>
      <c r="F17" s="3">
        <v>-900537</v>
      </c>
      <c r="G17" s="3">
        <v>-100000</v>
      </c>
      <c r="H17" s="12" t="s">
        <v>28</v>
      </c>
    </row>
    <row r="18" spans="1:8" x14ac:dyDescent="0.4">
      <c r="A18" s="12"/>
      <c r="B18" s="2" t="s">
        <v>5</v>
      </c>
      <c r="C18" s="3">
        <v>5845520</v>
      </c>
      <c r="D18" s="3"/>
      <c r="E18" s="3">
        <v>500000</v>
      </c>
      <c r="F18" s="3">
        <v>-880025</v>
      </c>
      <c r="G18" s="3">
        <v>-100000</v>
      </c>
      <c r="H18" s="12"/>
    </row>
    <row r="19" spans="1:8" x14ac:dyDescent="0.4">
      <c r="A19" s="12"/>
      <c r="B19" s="2" t="s">
        <v>1</v>
      </c>
      <c r="C19" s="3">
        <v>6285500</v>
      </c>
      <c r="D19" s="3"/>
      <c r="E19" s="3">
        <v>500000</v>
      </c>
      <c r="F19" s="3">
        <v>-971826</v>
      </c>
      <c r="G19" s="3">
        <v>-100000</v>
      </c>
      <c r="H19" s="12"/>
    </row>
    <row r="20" spans="1:8" x14ac:dyDescent="0.4">
      <c r="A20" s="12"/>
      <c r="B20" s="2" t="s">
        <v>2</v>
      </c>
      <c r="C20" s="3">
        <v>6282670</v>
      </c>
      <c r="D20" s="3"/>
      <c r="E20" s="3">
        <v>500000</v>
      </c>
      <c r="F20" s="3">
        <v>-1084666</v>
      </c>
      <c r="G20" s="3">
        <v>-100000</v>
      </c>
      <c r="H20" s="12"/>
    </row>
    <row r="21" spans="1:8" x14ac:dyDescent="0.4">
      <c r="A21" s="12"/>
      <c r="B21" s="2" t="s">
        <v>10</v>
      </c>
      <c r="C21" s="3">
        <v>6274085</v>
      </c>
      <c r="D21" s="3"/>
      <c r="E21" s="3">
        <v>3000000</v>
      </c>
      <c r="F21" s="3">
        <v>-869626</v>
      </c>
      <c r="G21" s="3">
        <v>-100000</v>
      </c>
      <c r="H21" s="12"/>
    </row>
    <row r="22" spans="1:8" x14ac:dyDescent="0.4">
      <c r="A22" s="12"/>
      <c r="B22" s="2" t="s">
        <v>6</v>
      </c>
      <c r="C22" s="3">
        <v>6274085</v>
      </c>
      <c r="D22" s="3"/>
      <c r="E22" s="3">
        <v>500000</v>
      </c>
      <c r="F22" s="3">
        <v>-926354</v>
      </c>
      <c r="G22" s="3">
        <v>-100000</v>
      </c>
      <c r="H22" s="12"/>
    </row>
    <row r="23" spans="1:8" x14ac:dyDescent="0.4">
      <c r="A23" s="12"/>
      <c r="B23" s="2" t="s">
        <v>8</v>
      </c>
      <c r="C23" s="3">
        <v>6274085</v>
      </c>
      <c r="D23" s="3"/>
      <c r="E23" s="3">
        <v>550000</v>
      </c>
      <c r="F23" s="3">
        <v>-871362</v>
      </c>
      <c r="G23" s="3">
        <v>-100000</v>
      </c>
      <c r="H23" s="12"/>
    </row>
    <row r="24" spans="1:8" x14ac:dyDescent="0.4">
      <c r="A24" s="12" t="s">
        <v>9</v>
      </c>
      <c r="B24" s="2" t="s">
        <v>7</v>
      </c>
      <c r="C24" s="3">
        <v>6774085</v>
      </c>
      <c r="D24" s="3"/>
      <c r="E24" s="3">
        <v>550000</v>
      </c>
      <c r="F24" s="3">
        <v>-942082</v>
      </c>
      <c r="G24" s="3">
        <v>-100000</v>
      </c>
      <c r="H24" s="12"/>
    </row>
    <row r="25" spans="1:8" x14ac:dyDescent="0.4">
      <c r="A25" s="12"/>
      <c r="B25" s="2" t="s">
        <v>13</v>
      </c>
      <c r="C25" s="3">
        <v>6274085</v>
      </c>
      <c r="D25" s="3"/>
      <c r="E25" s="3">
        <v>550000</v>
      </c>
      <c r="F25" s="3">
        <v>-982156</v>
      </c>
      <c r="G25" s="3">
        <v>-100000</v>
      </c>
      <c r="H25" s="12"/>
    </row>
    <row r="26" spans="1:8" x14ac:dyDescent="0.4">
      <c r="A26" s="12"/>
      <c r="B26" s="2" t="s">
        <v>12</v>
      </c>
      <c r="C26" s="3">
        <v>5945477</v>
      </c>
      <c r="D26" s="3"/>
      <c r="E26" s="3">
        <v>550000</v>
      </c>
      <c r="F26" s="3">
        <v>-948856</v>
      </c>
      <c r="G26" s="3">
        <v>-100000</v>
      </c>
      <c r="H26" s="13" t="s">
        <v>23</v>
      </c>
    </row>
    <row r="27" spans="1:8" x14ac:dyDescent="0.4">
      <c r="A27" s="12"/>
      <c r="B27" s="2" t="s">
        <v>19</v>
      </c>
      <c r="C27" s="3">
        <v>6755220</v>
      </c>
      <c r="D27" s="3"/>
      <c r="E27" s="3">
        <v>550000</v>
      </c>
      <c r="F27" s="3">
        <v>-943026</v>
      </c>
      <c r="G27" s="3">
        <v>-100000</v>
      </c>
      <c r="H27" s="12"/>
    </row>
    <row r="28" spans="1:8" x14ac:dyDescent="0.4">
      <c r="A28" s="12"/>
      <c r="B28" s="2" t="s">
        <v>14</v>
      </c>
      <c r="C28" s="3">
        <v>6755220</v>
      </c>
      <c r="D28" s="3"/>
      <c r="E28" s="3">
        <v>550000</v>
      </c>
      <c r="F28" s="3">
        <v>-943026</v>
      </c>
      <c r="G28" s="3">
        <v>-100000</v>
      </c>
      <c r="H28" s="12"/>
    </row>
    <row r="29" spans="1:8" x14ac:dyDescent="0.4">
      <c r="A29" s="12"/>
      <c r="B29" s="2" t="s">
        <v>20</v>
      </c>
      <c r="C29" s="3">
        <v>6755220</v>
      </c>
      <c r="D29" s="3"/>
      <c r="E29" s="3">
        <v>550000</v>
      </c>
      <c r="F29" s="3">
        <v>-910826</v>
      </c>
      <c r="G29" s="3">
        <v>-100000</v>
      </c>
      <c r="H29" s="12"/>
    </row>
    <row r="30" spans="1:8" x14ac:dyDescent="0.4">
      <c r="A30" s="12"/>
      <c r="B30" s="2" t="s">
        <v>5</v>
      </c>
      <c r="C30" s="3">
        <v>6755220</v>
      </c>
      <c r="D30" s="3"/>
      <c r="E30" s="3">
        <v>550000</v>
      </c>
      <c r="F30" s="3">
        <v>-910826</v>
      </c>
      <c r="G30" s="3">
        <v>-100000</v>
      </c>
      <c r="H30" s="12"/>
    </row>
    <row r="31" spans="1:8" x14ac:dyDescent="0.4">
      <c r="A31" s="12"/>
      <c r="B31" s="2" t="s">
        <v>1</v>
      </c>
      <c r="C31" s="3">
        <v>6708012</v>
      </c>
      <c r="D31" s="3"/>
      <c r="E31" s="3">
        <v>550000</v>
      </c>
      <c r="F31" s="3">
        <v>-910826</v>
      </c>
      <c r="G31" s="3">
        <v>-100000</v>
      </c>
      <c r="H31" s="12"/>
    </row>
    <row r="32" spans="1:8" x14ac:dyDescent="0.4">
      <c r="A32" s="12"/>
      <c r="B32" s="2" t="s">
        <v>2</v>
      </c>
      <c r="C32" s="3">
        <v>6708012</v>
      </c>
      <c r="D32" s="3"/>
      <c r="E32" s="3">
        <v>550000</v>
      </c>
      <c r="F32" s="3">
        <v>-910826</v>
      </c>
      <c r="G32" s="3">
        <v>-100000</v>
      </c>
      <c r="H32" s="12"/>
    </row>
    <row r="33" spans="1:8" x14ac:dyDescent="0.4">
      <c r="A33" s="12"/>
      <c r="B33" s="2" t="s">
        <v>10</v>
      </c>
      <c r="C33" s="3">
        <v>6708012</v>
      </c>
      <c r="D33" s="3"/>
      <c r="E33" s="3">
        <v>550000</v>
      </c>
      <c r="F33" s="3">
        <v>-910826</v>
      </c>
      <c r="G33" s="3">
        <v>-100000</v>
      </c>
      <c r="H33" s="12"/>
    </row>
    <row r="34" spans="1:8" x14ac:dyDescent="0.4">
      <c r="A34" s="12"/>
      <c r="B34" s="2" t="s">
        <v>6</v>
      </c>
      <c r="C34" s="3">
        <v>6708012</v>
      </c>
      <c r="D34" s="3"/>
      <c r="E34" s="3">
        <v>550000</v>
      </c>
      <c r="F34" s="3">
        <v>-2254621</v>
      </c>
      <c r="G34" s="3">
        <v>-100000</v>
      </c>
      <c r="H34" s="12"/>
    </row>
    <row r="35" spans="1:8" x14ac:dyDescent="0.4">
      <c r="A35" s="12"/>
      <c r="B35" s="2" t="s">
        <v>8</v>
      </c>
      <c r="C35" s="3">
        <v>6708012</v>
      </c>
      <c r="D35" s="3"/>
      <c r="E35" s="3">
        <v>340000</v>
      </c>
      <c r="F35" s="3">
        <v>-1144829</v>
      </c>
      <c r="G35" s="3">
        <v>-100000</v>
      </c>
      <c r="H35" s="12"/>
    </row>
    <row r="36" spans="1:8" x14ac:dyDescent="0.4">
      <c r="A36" s="12" t="s">
        <v>16</v>
      </c>
      <c r="B36" s="2" t="s">
        <v>7</v>
      </c>
      <c r="C36" s="3">
        <v>6708012</v>
      </c>
      <c r="D36" s="3"/>
      <c r="E36" s="3">
        <v>550016</v>
      </c>
      <c r="F36" s="3">
        <v>-2424885</v>
      </c>
      <c r="G36" s="3">
        <v>-100000</v>
      </c>
      <c r="H36" s="12" t="s">
        <v>27</v>
      </c>
    </row>
    <row r="37" spans="1:8" x14ac:dyDescent="0.4">
      <c r="A37" s="12"/>
      <c r="B37" s="2" t="s">
        <v>13</v>
      </c>
      <c r="C37" s="3">
        <v>7874100</v>
      </c>
      <c r="D37" s="3"/>
      <c r="E37" s="3">
        <v>550000</v>
      </c>
      <c r="F37" s="3">
        <v>-2477635</v>
      </c>
      <c r="G37" s="3">
        <v>-100000</v>
      </c>
      <c r="H37" s="12"/>
    </row>
    <row r="38" spans="1:8" x14ac:dyDescent="0.4">
      <c r="A38" s="12"/>
      <c r="B38" s="2" t="s">
        <v>12</v>
      </c>
      <c r="C38" s="3">
        <v>7874100</v>
      </c>
      <c r="D38" s="3"/>
      <c r="E38" s="3">
        <v>550000</v>
      </c>
      <c r="F38" s="3">
        <v>-3504383</v>
      </c>
      <c r="G38" s="3">
        <v>-100000</v>
      </c>
      <c r="H38" s="12"/>
    </row>
    <row r="39" spans="1:8" x14ac:dyDescent="0.4">
      <c r="A39" s="12"/>
      <c r="B39" s="2" t="s">
        <v>19</v>
      </c>
      <c r="C39" s="3">
        <v>7874100</v>
      </c>
      <c r="D39" s="3"/>
      <c r="E39" s="3">
        <v>0</v>
      </c>
      <c r="F39" s="3">
        <v>-2350595</v>
      </c>
      <c r="G39" s="3">
        <v>-100000</v>
      </c>
      <c r="H39" s="12"/>
    </row>
    <row r="40" spans="1:8" x14ac:dyDescent="0.4">
      <c r="A40" s="12"/>
      <c r="B40" s="2" t="s">
        <v>14</v>
      </c>
      <c r="C40" s="3">
        <v>7846540</v>
      </c>
      <c r="D40" s="3"/>
      <c r="E40" s="3">
        <v>550000</v>
      </c>
      <c r="F40" s="3">
        <v>-2750561</v>
      </c>
      <c r="G40" s="3">
        <v>-100000</v>
      </c>
      <c r="H40" s="12"/>
    </row>
    <row r="41" spans="1:8" x14ac:dyDescent="0.4">
      <c r="A41" s="12"/>
      <c r="B41" s="2" t="s">
        <v>20</v>
      </c>
      <c r="C41" s="3">
        <v>7832760</v>
      </c>
      <c r="D41" s="3"/>
      <c r="E41" s="3">
        <v>0</v>
      </c>
      <c r="F41" s="3">
        <v>-3372067</v>
      </c>
      <c r="G41" s="3">
        <v>-100000</v>
      </c>
      <c r="H41" s="12"/>
    </row>
    <row r="42" spans="1:8" x14ac:dyDescent="0.4">
      <c r="A42" s="12"/>
      <c r="B42" s="2" t="s">
        <v>5</v>
      </c>
      <c r="C42" s="3">
        <v>7597857</v>
      </c>
      <c r="D42" s="3"/>
      <c r="E42" s="3">
        <v>550000</v>
      </c>
      <c r="F42" s="3">
        <v>-4009780</v>
      </c>
      <c r="G42" s="3">
        <v>-100000</v>
      </c>
      <c r="H42" s="2"/>
    </row>
    <row r="43" spans="1:8" x14ac:dyDescent="0.4">
      <c r="A43" s="12"/>
      <c r="B43" s="2" t="s">
        <v>1</v>
      </c>
      <c r="C43" s="3">
        <v>0</v>
      </c>
      <c r="D43" s="3"/>
      <c r="E43" s="3">
        <v>220000</v>
      </c>
      <c r="F43" s="3">
        <v>-2142090</v>
      </c>
      <c r="G43" s="3">
        <v>-100000</v>
      </c>
      <c r="H43" s="13" t="s">
        <v>22</v>
      </c>
    </row>
    <row r="44" spans="1:8" x14ac:dyDescent="0.4">
      <c r="A44" s="12"/>
      <c r="B44" s="2" t="s">
        <v>2</v>
      </c>
      <c r="C44" s="3">
        <f t="shared" ref="C44:C57" si="0">5800*1300</f>
        <v>7540000</v>
      </c>
      <c r="D44" s="3"/>
      <c r="E44" s="3">
        <v>550000</v>
      </c>
      <c r="F44" s="3">
        <v>-2337324</v>
      </c>
      <c r="G44" s="3">
        <v>-100000</v>
      </c>
      <c r="H44" s="12"/>
    </row>
    <row r="45" spans="1:8" x14ac:dyDescent="0.4">
      <c r="A45" s="12"/>
      <c r="B45" s="2" t="s">
        <v>10</v>
      </c>
      <c r="C45" s="3">
        <v>7449414</v>
      </c>
      <c r="D45" s="3"/>
      <c r="E45" s="3">
        <v>550000</v>
      </c>
      <c r="F45" s="3">
        <v>-2859336</v>
      </c>
      <c r="G45" s="3">
        <v>-100000</v>
      </c>
      <c r="H45" s="12"/>
    </row>
    <row r="46" spans="1:8" x14ac:dyDescent="0.4">
      <c r="A46" s="12"/>
      <c r="B46" s="2" t="s">
        <v>6</v>
      </c>
      <c r="C46" s="3">
        <v>7409146</v>
      </c>
      <c r="D46" s="3"/>
      <c r="E46" s="3">
        <v>0</v>
      </c>
      <c r="F46" s="3">
        <v>-2164544</v>
      </c>
      <c r="G46" s="3">
        <v>-100000</v>
      </c>
      <c r="H46" s="12"/>
    </row>
    <row r="47" spans="1:8" x14ac:dyDescent="0.4">
      <c r="A47" s="12"/>
      <c r="B47" s="2" t="s">
        <v>8</v>
      </c>
      <c r="C47" s="3">
        <v>6041264</v>
      </c>
      <c r="D47" s="3"/>
      <c r="E47" s="3">
        <v>600000</v>
      </c>
      <c r="F47" s="3">
        <v>-1803925</v>
      </c>
      <c r="G47" s="3">
        <v>-100000</v>
      </c>
      <c r="H47" s="12"/>
    </row>
    <row r="48" spans="1:8" x14ac:dyDescent="0.4">
      <c r="A48" s="12" t="s">
        <v>4</v>
      </c>
      <c r="B48" s="2" t="s">
        <v>7</v>
      </c>
      <c r="C48" s="3">
        <f t="shared" si="0"/>
        <v>7540000</v>
      </c>
      <c r="D48" s="3"/>
      <c r="E48" s="3">
        <v>0</v>
      </c>
      <c r="F48" s="3">
        <v>-1700793</v>
      </c>
      <c r="G48" s="3">
        <v>-100000</v>
      </c>
      <c r="H48" s="12"/>
    </row>
    <row r="49" spans="1:8" x14ac:dyDescent="0.4">
      <c r="A49" s="12"/>
      <c r="B49" s="2" t="s">
        <v>13</v>
      </c>
      <c r="C49" s="3">
        <f t="shared" si="0"/>
        <v>7540000</v>
      </c>
      <c r="D49" s="3"/>
      <c r="E49" s="3">
        <v>600000</v>
      </c>
      <c r="F49" s="3">
        <v>-1500885</v>
      </c>
      <c r="G49" s="3">
        <v>-100000</v>
      </c>
      <c r="H49" s="12"/>
    </row>
    <row r="50" spans="1:8" x14ac:dyDescent="0.4">
      <c r="A50" s="12"/>
      <c r="B50" s="2" t="s">
        <v>12</v>
      </c>
      <c r="C50" s="3">
        <f t="shared" si="0"/>
        <v>7540000</v>
      </c>
      <c r="D50" s="3"/>
      <c r="E50" s="3">
        <v>0</v>
      </c>
      <c r="F50" s="3">
        <v>-1374935</v>
      </c>
      <c r="G50" s="3">
        <v>-100000</v>
      </c>
      <c r="H50" s="12"/>
    </row>
    <row r="51" spans="1:8" x14ac:dyDescent="0.4">
      <c r="A51" s="12"/>
      <c r="B51" s="2" t="s">
        <v>19</v>
      </c>
      <c r="C51" s="3">
        <f t="shared" si="0"/>
        <v>7540000</v>
      </c>
      <c r="D51" s="3"/>
      <c r="E51" s="3">
        <v>600000</v>
      </c>
      <c r="F51" s="3">
        <v>-1771955</v>
      </c>
      <c r="G51" s="3">
        <v>-100000</v>
      </c>
      <c r="H51" s="12"/>
    </row>
    <row r="52" spans="1:8" x14ac:dyDescent="0.4">
      <c r="A52" s="12"/>
      <c r="B52" s="2" t="s">
        <v>14</v>
      </c>
      <c r="C52" s="3">
        <f t="shared" si="0"/>
        <v>7540000</v>
      </c>
      <c r="D52" s="3"/>
      <c r="E52" s="3">
        <v>0</v>
      </c>
      <c r="F52" s="3">
        <v>-1304462</v>
      </c>
      <c r="G52" s="3">
        <v>-100000</v>
      </c>
      <c r="H52" s="12"/>
    </row>
    <row r="53" spans="1:8" x14ac:dyDescent="0.4">
      <c r="A53" s="12"/>
      <c r="B53" s="2" t="s">
        <v>20</v>
      </c>
      <c r="C53" s="3">
        <f t="shared" si="0"/>
        <v>7540000</v>
      </c>
      <c r="D53" s="3"/>
      <c r="E53" s="3">
        <v>0</v>
      </c>
      <c r="F53" s="3">
        <v>-2714660</v>
      </c>
      <c r="G53" s="3">
        <v>-100000</v>
      </c>
      <c r="H53" s="12"/>
    </row>
    <row r="54" spans="1:8" x14ac:dyDescent="0.4">
      <c r="A54" s="12"/>
      <c r="B54" s="2" t="s">
        <v>5</v>
      </c>
      <c r="C54" s="3">
        <f t="shared" si="0"/>
        <v>7540000</v>
      </c>
      <c r="D54" s="3"/>
      <c r="E54" s="3">
        <v>0</v>
      </c>
      <c r="F54" s="3">
        <v>-2887520</v>
      </c>
      <c r="G54" s="3">
        <v>-100000</v>
      </c>
      <c r="H54" s="12"/>
    </row>
    <row r="55" spans="1:8" x14ac:dyDescent="0.4">
      <c r="A55" s="12"/>
      <c r="B55" s="2" t="s">
        <v>1</v>
      </c>
      <c r="C55" s="3">
        <f t="shared" si="0"/>
        <v>7540000</v>
      </c>
      <c r="D55" s="3"/>
      <c r="E55" s="3">
        <v>600000</v>
      </c>
      <c r="F55" s="3">
        <v>-1560449</v>
      </c>
      <c r="G55" s="3">
        <v>-100000</v>
      </c>
      <c r="H55" s="12"/>
    </row>
    <row r="56" spans="1:8" x14ac:dyDescent="0.4">
      <c r="A56" s="12"/>
      <c r="B56" s="2" t="s">
        <v>2</v>
      </c>
      <c r="C56" s="3">
        <f t="shared" si="0"/>
        <v>7540000</v>
      </c>
      <c r="D56" s="3"/>
      <c r="E56" s="3">
        <v>600000</v>
      </c>
      <c r="F56" s="3">
        <v>-1208207</v>
      </c>
      <c r="G56" s="3">
        <v>-100000</v>
      </c>
      <c r="H56" s="12"/>
    </row>
    <row r="57" spans="1:8" x14ac:dyDescent="0.4">
      <c r="A57" s="12"/>
      <c r="B57" s="2" t="s">
        <v>10</v>
      </c>
      <c r="C57" s="3">
        <f t="shared" si="0"/>
        <v>7540000</v>
      </c>
      <c r="D57" s="3"/>
      <c r="E57" s="3">
        <v>1150000</v>
      </c>
      <c r="F57" s="3">
        <v>-1880818</v>
      </c>
      <c r="G57" s="3">
        <v>-100000</v>
      </c>
      <c r="H57" s="12"/>
    </row>
    <row r="58" spans="1:8" x14ac:dyDescent="0.4">
      <c r="A58" s="12"/>
      <c r="B58" s="2" t="s">
        <v>6</v>
      </c>
      <c r="C58" s="3">
        <v>6700000</v>
      </c>
      <c r="D58" s="3"/>
      <c r="E58" s="3">
        <v>4150000</v>
      </c>
      <c r="F58" s="3">
        <v>-3462400</v>
      </c>
      <c r="G58" s="3">
        <v>-100000</v>
      </c>
      <c r="H58" s="12"/>
    </row>
    <row r="59" spans="1:8" x14ac:dyDescent="0.4">
      <c r="A59" s="12"/>
      <c r="B59" s="2" t="s">
        <v>8</v>
      </c>
      <c r="C59" s="3">
        <v>0</v>
      </c>
      <c r="D59" s="3"/>
      <c r="E59" s="3"/>
      <c r="F59" s="3">
        <v>-2720000</v>
      </c>
      <c r="G59" s="3">
        <v>-100000</v>
      </c>
      <c r="H59" s="12" t="s">
        <v>25</v>
      </c>
    </row>
    <row r="60" spans="1:8" x14ac:dyDescent="0.4">
      <c r="A60" s="9" t="s">
        <v>18</v>
      </c>
      <c r="B60" s="2" t="s">
        <v>7</v>
      </c>
      <c r="C60" s="3">
        <v>2816000</v>
      </c>
      <c r="D60" s="3"/>
      <c r="E60" s="3"/>
      <c r="F60" s="3">
        <v>-1449384</v>
      </c>
      <c r="G60" s="3">
        <v>-100000</v>
      </c>
      <c r="H60" s="12"/>
    </row>
    <row r="61" spans="1:8" x14ac:dyDescent="0.4">
      <c r="A61" s="9"/>
      <c r="B61" s="2" t="s">
        <v>13</v>
      </c>
      <c r="C61" s="3">
        <v>5738000</v>
      </c>
      <c r="D61" s="3"/>
      <c r="E61" s="3">
        <v>600000</v>
      </c>
      <c r="F61" s="3">
        <v>-1014550</v>
      </c>
      <c r="G61" s="3">
        <v>-100000</v>
      </c>
      <c r="H61" s="12"/>
    </row>
    <row r="62" spans="1:8" x14ac:dyDescent="0.4">
      <c r="A62" s="9"/>
      <c r="B62" s="2" t="s">
        <v>12</v>
      </c>
      <c r="C62" s="3">
        <v>1693374</v>
      </c>
      <c r="D62" s="3"/>
      <c r="E62" s="3"/>
      <c r="F62" s="3">
        <v>-1535393</v>
      </c>
      <c r="G62" s="3">
        <v>-100000</v>
      </c>
      <c r="H62" s="12"/>
    </row>
    <row r="63" spans="1:8" x14ac:dyDescent="0.4">
      <c r="A63" s="2" t="s">
        <v>17</v>
      </c>
      <c r="B63" s="3">
        <f>C63+D63+F63</f>
        <v>272435715</v>
      </c>
      <c r="C63" s="3">
        <f>SUM(C2:C62)</f>
        <v>362749559</v>
      </c>
      <c r="D63" s="4">
        <f>SUM(D2:D62)</f>
        <v>9808010</v>
      </c>
      <c r="E63" s="5">
        <f>SUM(E2:E62)</f>
        <v>31360016</v>
      </c>
      <c r="F63" s="5">
        <f>SUM(F2:F62)</f>
        <v>-100121854</v>
      </c>
      <c r="G63" s="5">
        <f>SUM(G2:G62)</f>
        <v>-5900000</v>
      </c>
      <c r="H63" s="6"/>
    </row>
  </sheetData>
  <mergeCells count="14">
    <mergeCell ref="A36:A47"/>
    <mergeCell ref="H36:H41"/>
    <mergeCell ref="H43:H58"/>
    <mergeCell ref="A48:A59"/>
    <mergeCell ref="H59:H62"/>
    <mergeCell ref="A60:A62"/>
    <mergeCell ref="C1:D1"/>
    <mergeCell ref="A2:A11"/>
    <mergeCell ref="H2:H9"/>
    <mergeCell ref="H10:H16"/>
    <mergeCell ref="A12:A23"/>
    <mergeCell ref="H17:H25"/>
    <mergeCell ref="A24:A35"/>
    <mergeCell ref="H26:H35"/>
  </mergeCells>
  <phoneticPr fontId="3" type="noConversion"/>
  <pageMargins left="0.69972223043441772" right="0.69972223043441772" top="0.75" bottom="0.75" header="0.30000001192092896" footer="0.30000001192092896"/>
  <pageSetup paperSize="9" scale="95" orientation="portrait" r:id="rId1"/>
  <rowBreaks count="1" manualBreakCount="1">
    <brk id="47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10B7-E882-40EB-8BF1-B9F60E61D93B}">
  <dimension ref="B2:I22"/>
  <sheetViews>
    <sheetView tabSelected="1" zoomScale="85" zoomScaleNormal="85" workbookViewId="0">
      <selection activeCell="G16" sqref="G16"/>
    </sheetView>
  </sheetViews>
  <sheetFormatPr defaultRowHeight="17.399999999999999" x14ac:dyDescent="0.4"/>
  <cols>
    <col min="2" max="2" width="23.5" bestFit="1" customWidth="1"/>
    <col min="3" max="3" width="21.3984375" bestFit="1" customWidth="1"/>
    <col min="4" max="4" width="23.5" bestFit="1" customWidth="1"/>
    <col min="5" max="5" width="19.69921875" bestFit="1" customWidth="1"/>
    <col min="6" max="6" width="10.3984375" bestFit="1" customWidth="1"/>
    <col min="7" max="7" width="19.69921875" bestFit="1" customWidth="1"/>
    <col min="8" max="8" width="11.19921875" bestFit="1" customWidth="1"/>
    <col min="9" max="9" width="11" bestFit="1" customWidth="1"/>
    <col min="12" max="12" width="15.19921875" bestFit="1" customWidth="1"/>
    <col min="13" max="13" width="9.19921875" bestFit="1" customWidth="1"/>
  </cols>
  <sheetData>
    <row r="2" spans="2:9" x14ac:dyDescent="0.4">
      <c r="B2" s="7" t="s">
        <v>30</v>
      </c>
      <c r="C2" s="7" t="s">
        <v>31</v>
      </c>
      <c r="D2" s="7" t="s">
        <v>36</v>
      </c>
      <c r="E2" s="7" t="s">
        <v>34</v>
      </c>
      <c r="F2" s="7" t="s">
        <v>35</v>
      </c>
      <c r="G2" s="7" t="s">
        <v>33</v>
      </c>
      <c r="H2" s="7" t="s">
        <v>32</v>
      </c>
      <c r="I2" s="7" t="s">
        <v>37</v>
      </c>
    </row>
    <row r="3" spans="2:9" x14ac:dyDescent="0.4"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45</v>
      </c>
      <c r="H3">
        <v>31360016</v>
      </c>
    </row>
    <row r="4" spans="2:9" x14ac:dyDescent="0.4">
      <c r="B4" s="7" t="s">
        <v>43</v>
      </c>
      <c r="C4" s="7" t="s">
        <v>44</v>
      </c>
      <c r="D4" s="7" t="s">
        <v>40</v>
      </c>
      <c r="E4" s="7" t="s">
        <v>41</v>
      </c>
      <c r="F4" s="7" t="s">
        <v>42</v>
      </c>
      <c r="G4" s="7" t="s">
        <v>45</v>
      </c>
      <c r="H4">
        <v>65000000</v>
      </c>
    </row>
    <row r="5" spans="2:9" x14ac:dyDescent="0.4">
      <c r="B5" s="7" t="s">
        <v>46</v>
      </c>
      <c r="C5" s="7" t="s">
        <v>59</v>
      </c>
      <c r="D5" s="7" t="s">
        <v>42</v>
      </c>
      <c r="E5" s="7" t="s">
        <v>47</v>
      </c>
      <c r="F5" s="7" t="s">
        <v>48</v>
      </c>
      <c r="G5" s="7" t="s">
        <v>49</v>
      </c>
      <c r="H5">
        <v>6461716</v>
      </c>
    </row>
    <row r="6" spans="2:9" x14ac:dyDescent="0.4">
      <c r="B6" s="7" t="s">
        <v>50</v>
      </c>
      <c r="C6" s="7" t="s">
        <v>57</v>
      </c>
      <c r="D6" s="7" t="s">
        <v>40</v>
      </c>
      <c r="E6" s="7" t="s">
        <v>41</v>
      </c>
      <c r="F6" s="7" t="s">
        <v>42</v>
      </c>
      <c r="G6" s="7" t="s">
        <v>45</v>
      </c>
      <c r="H6">
        <v>10000000</v>
      </c>
      <c r="I6" s="7" t="s">
        <v>56</v>
      </c>
    </row>
    <row r="7" spans="2:9" x14ac:dyDescent="0.4">
      <c r="B7" s="7" t="s">
        <v>51</v>
      </c>
      <c r="C7" s="7" t="s">
        <v>58</v>
      </c>
      <c r="D7" s="7" t="s">
        <v>40</v>
      </c>
      <c r="E7" s="7" t="s">
        <v>41</v>
      </c>
      <c r="F7" s="7" t="s">
        <v>42</v>
      </c>
      <c r="G7" s="7" t="s">
        <v>45</v>
      </c>
      <c r="H7">
        <v>10365063</v>
      </c>
      <c r="I7" s="7" t="s">
        <v>56</v>
      </c>
    </row>
    <row r="8" spans="2:9" x14ac:dyDescent="0.4">
      <c r="B8" s="7" t="s">
        <v>60</v>
      </c>
      <c r="C8" s="7" t="s">
        <v>61</v>
      </c>
      <c r="D8" s="7" t="s">
        <v>40</v>
      </c>
      <c r="E8" s="7" t="s">
        <v>41</v>
      </c>
      <c r="F8" s="7" t="s">
        <v>42</v>
      </c>
      <c r="G8" s="7" t="s">
        <v>45</v>
      </c>
      <c r="H8">
        <v>3000000</v>
      </c>
      <c r="I8" s="7"/>
    </row>
    <row r="9" spans="2:9" x14ac:dyDescent="0.4">
      <c r="B9" s="7" t="s">
        <v>63</v>
      </c>
      <c r="C9" s="7" t="s">
        <v>62</v>
      </c>
      <c r="D9" s="7" t="s">
        <v>42</v>
      </c>
      <c r="E9" s="7" t="s">
        <v>47</v>
      </c>
      <c r="F9" s="7"/>
      <c r="G9" s="7"/>
      <c r="H9">
        <v>4000000</v>
      </c>
      <c r="I9" s="7"/>
    </row>
    <row r="10" spans="2:9" x14ac:dyDescent="0.4">
      <c r="B10" s="7" t="s">
        <v>65</v>
      </c>
      <c r="C10" s="7" t="s">
        <v>64</v>
      </c>
      <c r="D10" s="7" t="s">
        <v>66</v>
      </c>
      <c r="E10" s="7" t="s">
        <v>67</v>
      </c>
      <c r="F10" s="7"/>
      <c r="G10" s="7"/>
      <c r="H10">
        <v>4400000</v>
      </c>
      <c r="I10" s="7"/>
    </row>
    <row r="11" spans="2:9" x14ac:dyDescent="0.4">
      <c r="B11" s="7" t="s">
        <v>69</v>
      </c>
      <c r="C11" s="7" t="s">
        <v>68</v>
      </c>
      <c r="D11" s="7" t="s">
        <v>42</v>
      </c>
      <c r="E11" s="7" t="s">
        <v>47</v>
      </c>
      <c r="F11" s="7"/>
      <c r="G11" s="7"/>
      <c r="H11">
        <v>2200000</v>
      </c>
      <c r="I11" s="7"/>
    </row>
    <row r="12" spans="2:9" x14ac:dyDescent="0.4">
      <c r="B12" s="7" t="s">
        <v>55</v>
      </c>
      <c r="D12" s="7" t="s">
        <v>42</v>
      </c>
      <c r="E12" s="7" t="s">
        <v>47</v>
      </c>
      <c r="H12">
        <f>SUM(H3:H11)</f>
        <v>136786795</v>
      </c>
    </row>
    <row r="21" spans="2:5" x14ac:dyDescent="0.4">
      <c r="B21" s="7" t="s">
        <v>52</v>
      </c>
      <c r="C21" s="7" t="s">
        <v>54</v>
      </c>
      <c r="D21" s="7" t="s">
        <v>54</v>
      </c>
      <c r="E21" s="7" t="s">
        <v>53</v>
      </c>
    </row>
    <row r="22" spans="2:5" x14ac:dyDescent="0.4">
      <c r="B22">
        <v>0.6</v>
      </c>
      <c r="C22" t="str">
        <f>공동재산!A63</f>
        <v>합계</v>
      </c>
      <c r="D22">
        <f>공동재산!B63</f>
        <v>272435715</v>
      </c>
      <c r="E22">
        <f>H12+(D22*B22)</f>
        <v>300248224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공동재산</vt:lpstr>
      <vt:lpstr>결혼전 개인재산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cnh665@gmail.com</cp:lastModifiedBy>
  <cp:revision>22</cp:revision>
  <cp:lastPrinted>2025-10-15T05:20:23Z</cp:lastPrinted>
  <dcterms:created xsi:type="dcterms:W3CDTF">2025-10-15T05:19:20Z</dcterms:created>
  <dcterms:modified xsi:type="dcterms:W3CDTF">2026-04-07T14:13:47Z</dcterms:modified>
  <cp:version>1200.0100.01</cp:version>
</cp:coreProperties>
</file>